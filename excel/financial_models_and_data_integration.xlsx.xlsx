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1C88C04B-3AFE-413A-855B-608F7176976E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E2" i="2"/>
  <c r="E3" i="2"/>
  <c r="E4" i="2"/>
  <c r="D2" i="2"/>
  <c r="D3" i="2"/>
  <c r="D4" i="2"/>
  <c r="A20" i="1"/>
  <c r="B20" i="1"/>
  <c r="C20" i="1"/>
  <c r="D20" i="1"/>
  <c r="E20" i="1"/>
  <c r="F20" i="1"/>
  <c r="A11" i="1"/>
  <c r="B11" i="1"/>
  <c r="C11" i="1"/>
  <c r="D11" i="1"/>
  <c r="E11" i="1"/>
  <c r="F11" i="1"/>
  <c r="A12" i="1"/>
  <c r="B12" i="1"/>
  <c r="C12" i="1"/>
  <c r="D12" i="1"/>
  <c r="E12" i="1"/>
  <c r="F12" i="1"/>
  <c r="A13" i="1"/>
  <c r="B13" i="1"/>
  <c r="C13" i="1"/>
  <c r="D13" i="1"/>
  <c r="E13" i="1"/>
  <c r="F13" i="1"/>
  <c r="A14" i="1"/>
  <c r="B14" i="1"/>
  <c r="C14" i="1"/>
  <c r="D14" i="1"/>
  <c r="E14" i="1"/>
  <c r="F14" i="1"/>
  <c r="A15" i="1"/>
  <c r="B15" i="1"/>
  <c r="C15" i="1"/>
  <c r="D15" i="1"/>
  <c r="E15" i="1"/>
  <c r="F15" i="1"/>
  <c r="A16" i="1"/>
  <c r="B16" i="1"/>
  <c r="C16" i="1"/>
  <c r="D16" i="1"/>
  <c r="E16" i="1"/>
  <c r="F16" i="1"/>
  <c r="A17" i="1"/>
  <c r="B17" i="1"/>
  <c r="C17" i="1"/>
  <c r="D17" i="1"/>
  <c r="E17" i="1"/>
  <c r="F17" i="1"/>
  <c r="A18" i="1"/>
  <c r="B18" i="1"/>
  <c r="C18" i="1"/>
  <c r="D18" i="1"/>
  <c r="E18" i="1"/>
  <c r="F18" i="1"/>
  <c r="A19" i="1"/>
  <c r="B19" i="1"/>
  <c r="C19" i="1"/>
  <c r="D19" i="1"/>
  <c r="E19" i="1"/>
  <c r="F19" i="1"/>
  <c r="F9" i="1"/>
  <c r="E9" i="1"/>
  <c r="C10" i="1"/>
  <c r="D9" i="1"/>
  <c r="B10" i="1"/>
  <c r="A10" i="1"/>
  <c r="C9" i="1"/>
  <c r="B9" i="1"/>
  <c r="B5" i="1"/>
  <c r="D10" i="1" l="1"/>
  <c r="E10" i="1" s="1"/>
  <c r="F10" i="1"/>
</calcChain>
</file>

<file path=xl/sharedStrings.xml><?xml version="1.0" encoding="utf-8"?>
<sst xmlns="http://schemas.openxmlformats.org/spreadsheetml/2006/main" count="33" uniqueCount="28">
  <si>
    <t>Loan_Amount</t>
  </si>
  <si>
    <t>Anual_Interest_Rate</t>
  </si>
  <si>
    <t>Term_Months</t>
  </si>
  <si>
    <t>Fixed_Monthly_Payment</t>
  </si>
  <si>
    <t>Month</t>
  </si>
  <si>
    <t>Beginnig_Balance</t>
  </si>
  <si>
    <t>Monthly_Paid</t>
  </si>
  <si>
    <t>Interest_Paid</t>
  </si>
  <si>
    <t>Principal_Paid</t>
  </si>
  <si>
    <t>Ending_Paid</t>
  </si>
  <si>
    <t>Total_Rvenue</t>
  </si>
  <si>
    <t>EBITDA</t>
  </si>
  <si>
    <t>EBITDA_Margin</t>
  </si>
  <si>
    <t>Audit_Urgency</t>
  </si>
  <si>
    <t>January</t>
  </si>
  <si>
    <t>February</t>
  </si>
  <si>
    <t>March</t>
  </si>
  <si>
    <t>Store_ID</t>
  </si>
  <si>
    <t>Location</t>
  </si>
  <si>
    <t>Revenue</t>
  </si>
  <si>
    <t>Store_Location</t>
  </si>
  <si>
    <t>ST-101</t>
  </si>
  <si>
    <t>Santo Domingo Oeste</t>
  </si>
  <si>
    <t>ST-103</t>
  </si>
  <si>
    <t>ST-102</t>
  </si>
  <si>
    <t>Santiago</t>
  </si>
  <si>
    <t>La Romana</t>
  </si>
  <si>
    <t>ST-999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</si>
</sst>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6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0"/>
  <sheetViews>
    <sheetView workbookViewId="0">
      <selection activeCell="A23" sqref="A23"/>
    </sheetView>
  </sheetViews>
  <sheetFormatPr defaultRowHeight="15"/>
  <cols>
    <col min="1" max="1" width="21.85546875" customWidth="1"/>
    <col min="2" max="2" width="20.7109375" customWidth="1"/>
    <col min="3" max="3" width="12.5703125" customWidth="1"/>
    <col min="4" max="4" width="12" customWidth="1"/>
    <col min="5" max="5" width="13" customWidth="1"/>
    <col min="6" max="6" width="11.5703125" customWidth="1"/>
  </cols>
  <sheetData>
    <row r="2" spans="1:6">
      <c r="A2" t="s">
        <v>0</v>
      </c>
      <c r="B2" s="2">
        <v>10000</v>
      </c>
    </row>
    <row r="3" spans="1:6">
      <c r="A3" t="s">
        <v>1</v>
      </c>
      <c r="B3" s="1">
        <v>0.12</v>
      </c>
      <c r="C3" s="1"/>
    </row>
    <row r="4" spans="1:6">
      <c r="A4" t="s">
        <v>2</v>
      </c>
      <c r="B4">
        <v>12</v>
      </c>
    </row>
    <row r="5" spans="1:6">
      <c r="A5" t="s">
        <v>3</v>
      </c>
      <c r="B5" s="2">
        <f>PMT(B3/12, B4, -B2)</f>
        <v>888.48788678341691</v>
      </c>
    </row>
    <row r="8" spans="1:6">
      <c r="A8" t="s">
        <v>4</v>
      </c>
      <c r="B8" t="s">
        <v>5</v>
      </c>
      <c r="C8" t="s">
        <v>6</v>
      </c>
      <c r="D8" s="3" t="s">
        <v>7</v>
      </c>
      <c r="E8" t="s">
        <v>8</v>
      </c>
      <c r="F8" t="s">
        <v>9</v>
      </c>
    </row>
    <row r="9" spans="1:6">
      <c r="A9">
        <v>1</v>
      </c>
      <c r="B9" s="2">
        <f>B2</f>
        <v>10000</v>
      </c>
      <c r="C9" s="2">
        <f>$B$5</f>
        <v>888.48788678341691</v>
      </c>
      <c r="D9" s="2">
        <f>B9*($B$3/12)</f>
        <v>100</v>
      </c>
      <c r="E9" s="2">
        <f>C9- D9</f>
        <v>788.48788678341691</v>
      </c>
      <c r="F9" s="2">
        <f>B9-E9</f>
        <v>9211.5121132165823</v>
      </c>
    </row>
    <row r="10" spans="1:6">
      <c r="A10">
        <f>A9+1</f>
        <v>2</v>
      </c>
      <c r="B10" s="2">
        <f>F9</f>
        <v>9211.5121132165823</v>
      </c>
      <c r="C10" s="2">
        <f>$B$5</f>
        <v>888.48788678341691</v>
      </c>
      <c r="D10" s="2">
        <f>B10*($B$3/12)</f>
        <v>92.115121132165825</v>
      </c>
      <c r="E10" s="2">
        <f>C10- D10</f>
        <v>796.37276565125103</v>
      </c>
      <c r="F10" s="2">
        <f>B10-E10</f>
        <v>8415.1393475653313</v>
      </c>
    </row>
    <row r="11" spans="1:6">
      <c r="A11">
        <f t="shared" ref="A11:A19" si="0">A10+1</f>
        <v>3</v>
      </c>
      <c r="B11" s="2">
        <f t="shared" ref="B11:B19" si="1">F10</f>
        <v>8415.1393475653313</v>
      </c>
      <c r="C11" s="2">
        <f t="shared" ref="C11:C19" si="2">$B$5</f>
        <v>888.48788678341691</v>
      </c>
      <c r="D11" s="2">
        <f t="shared" ref="D11:D19" si="3">B11*($B$3/12)</f>
        <v>84.151393475653308</v>
      </c>
      <c r="E11" s="2">
        <f t="shared" ref="E11:E19" si="4">C11- D11</f>
        <v>804.33649330776359</v>
      </c>
      <c r="F11" s="2">
        <f t="shared" ref="F11:F19" si="5">B11-E11</f>
        <v>7610.8028542575676</v>
      </c>
    </row>
    <row r="12" spans="1:6">
      <c r="A12">
        <f t="shared" si="0"/>
        <v>4</v>
      </c>
      <c r="B12" s="2">
        <f t="shared" si="1"/>
        <v>7610.8028542575676</v>
      </c>
      <c r="C12" s="2">
        <f t="shared" si="2"/>
        <v>888.48788678341691</v>
      </c>
      <c r="D12" s="2">
        <f t="shared" si="3"/>
        <v>76.108028542575681</v>
      </c>
      <c r="E12" s="2">
        <f t="shared" si="4"/>
        <v>812.37985824084126</v>
      </c>
      <c r="F12" s="2">
        <f t="shared" si="5"/>
        <v>6798.4229960167268</v>
      </c>
    </row>
    <row r="13" spans="1:6">
      <c r="A13">
        <f t="shared" si="0"/>
        <v>5</v>
      </c>
      <c r="B13" s="2">
        <f t="shared" si="1"/>
        <v>6798.4229960167268</v>
      </c>
      <c r="C13" s="2">
        <f t="shared" si="2"/>
        <v>888.48788678341691</v>
      </c>
      <c r="D13" s="2">
        <f t="shared" si="3"/>
        <v>67.984229960167269</v>
      </c>
      <c r="E13" s="2">
        <f t="shared" si="4"/>
        <v>820.50365682324968</v>
      </c>
      <c r="F13" s="2">
        <f t="shared" si="5"/>
        <v>5977.9193391934768</v>
      </c>
    </row>
    <row r="14" spans="1:6">
      <c r="A14">
        <f t="shared" si="0"/>
        <v>6</v>
      </c>
      <c r="B14" s="2">
        <f t="shared" si="1"/>
        <v>5977.9193391934768</v>
      </c>
      <c r="C14" s="2">
        <f t="shared" si="2"/>
        <v>888.48788678341691</v>
      </c>
      <c r="D14" s="2">
        <f t="shared" si="3"/>
        <v>59.779193391934768</v>
      </c>
      <c r="E14" s="2">
        <f t="shared" si="4"/>
        <v>828.70869339148214</v>
      </c>
      <c r="F14" s="2">
        <f t="shared" si="5"/>
        <v>5149.2106458019944</v>
      </c>
    </row>
    <row r="15" spans="1:6">
      <c r="A15">
        <f t="shared" si="0"/>
        <v>7</v>
      </c>
      <c r="B15" s="2">
        <f t="shared" si="1"/>
        <v>5149.2106458019944</v>
      </c>
      <c r="C15" s="2">
        <f t="shared" si="2"/>
        <v>888.48788678341691</v>
      </c>
      <c r="D15" s="2">
        <f t="shared" si="3"/>
        <v>51.492106458019947</v>
      </c>
      <c r="E15" s="2">
        <f t="shared" si="4"/>
        <v>836.99578032539694</v>
      </c>
      <c r="F15" s="2">
        <f t="shared" si="5"/>
        <v>4312.214865476597</v>
      </c>
    </row>
    <row r="16" spans="1:6">
      <c r="A16">
        <f t="shared" si="0"/>
        <v>8</v>
      </c>
      <c r="B16" s="2">
        <f t="shared" si="1"/>
        <v>4312.214865476597</v>
      </c>
      <c r="C16" s="2">
        <f t="shared" si="2"/>
        <v>888.48788678341691</v>
      </c>
      <c r="D16" s="2">
        <f t="shared" si="3"/>
        <v>43.122148654765972</v>
      </c>
      <c r="E16" s="2">
        <f t="shared" si="4"/>
        <v>845.36573812865095</v>
      </c>
      <c r="F16" s="2">
        <f t="shared" si="5"/>
        <v>3466.8491273479458</v>
      </c>
    </row>
    <row r="17" spans="1:6">
      <c r="A17">
        <f t="shared" si="0"/>
        <v>9</v>
      </c>
      <c r="B17" s="2">
        <f t="shared" si="1"/>
        <v>3466.8491273479458</v>
      </c>
      <c r="C17" s="2">
        <f t="shared" si="2"/>
        <v>888.48788678341691</v>
      </c>
      <c r="D17" s="2">
        <f t="shared" si="3"/>
        <v>34.668491273479461</v>
      </c>
      <c r="E17" s="2">
        <f t="shared" si="4"/>
        <v>853.81939550993741</v>
      </c>
      <c r="F17" s="2">
        <f t="shared" si="5"/>
        <v>2613.0297318380085</v>
      </c>
    </row>
    <row r="18" spans="1:6">
      <c r="A18">
        <f t="shared" si="0"/>
        <v>10</v>
      </c>
      <c r="B18" s="2">
        <f t="shared" si="1"/>
        <v>2613.0297318380085</v>
      </c>
      <c r="C18" s="2">
        <f t="shared" si="2"/>
        <v>888.48788678341691</v>
      </c>
      <c r="D18" s="2">
        <f t="shared" si="3"/>
        <v>26.130297318380087</v>
      </c>
      <c r="E18" s="2">
        <f t="shared" si="4"/>
        <v>862.35758946503688</v>
      </c>
      <c r="F18" s="2">
        <f t="shared" si="5"/>
        <v>1750.6721423729716</v>
      </c>
    </row>
    <row r="19" spans="1:6">
      <c r="A19">
        <f t="shared" si="0"/>
        <v>11</v>
      </c>
      <c r="B19" s="2">
        <f t="shared" si="1"/>
        <v>1750.6721423729716</v>
      </c>
      <c r="C19" s="2">
        <f t="shared" si="2"/>
        <v>888.48788678341691</v>
      </c>
      <c r="D19" s="2">
        <f t="shared" si="3"/>
        <v>17.506721423729715</v>
      </c>
      <c r="E19" s="2">
        <f t="shared" si="4"/>
        <v>870.98116535968722</v>
      </c>
      <c r="F19" s="2">
        <f t="shared" si="5"/>
        <v>879.6909770132844</v>
      </c>
    </row>
    <row r="20" spans="1:6">
      <c r="A20">
        <f>A19+1</f>
        <v>12</v>
      </c>
      <c r="B20" s="2">
        <f>F19</f>
        <v>879.6909770132844</v>
      </c>
      <c r="C20" s="2">
        <f>$B$5</f>
        <v>888.48788678341691</v>
      </c>
      <c r="D20" s="2">
        <f>B20*($B$3/12)</f>
        <v>8.796909770132844</v>
      </c>
      <c r="E20" s="2">
        <f>C20- D20</f>
        <v>879.69097701328405</v>
      </c>
      <c r="F20" s="2">
        <f>B20-E20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0B52-DA11-47A0-8EB0-B3F2B05A80B3}">
  <dimension ref="A1:E4"/>
  <sheetViews>
    <sheetView workbookViewId="0">
      <selection activeCell="E5" sqref="E5"/>
    </sheetView>
  </sheetViews>
  <sheetFormatPr defaultRowHeight="15"/>
  <cols>
    <col min="2" max="2" width="12.85546875" customWidth="1"/>
    <col min="4" max="4" width="14.42578125" customWidth="1"/>
    <col min="5" max="5" width="13.5703125" customWidth="1"/>
  </cols>
  <sheetData>
    <row r="1" spans="1:5">
      <c r="A1" t="s">
        <v>4</v>
      </c>
      <c r="B1" t="s">
        <v>10</v>
      </c>
      <c r="C1" t="s">
        <v>11</v>
      </c>
      <c r="D1" t="s">
        <v>12</v>
      </c>
      <c r="E1" t="s">
        <v>13</v>
      </c>
    </row>
    <row r="2" spans="1:5">
      <c r="A2" t="s">
        <v>14</v>
      </c>
      <c r="B2">
        <v>100000</v>
      </c>
      <c r="C2">
        <v>25000</v>
      </c>
      <c r="D2" s="4">
        <f>C2/B2</f>
        <v>0.25</v>
      </c>
      <c r="E2" t="str">
        <f>IF(OR(D2&lt;15%, A2="January"), "Attention", "Low")</f>
        <v>Attention</v>
      </c>
    </row>
    <row r="3" spans="1:5">
      <c r="A3" t="s">
        <v>15</v>
      </c>
      <c r="B3">
        <v>120000</v>
      </c>
      <c r="C3">
        <v>14000</v>
      </c>
      <c r="D3" s="4">
        <f>C3/B3</f>
        <v>0.11666666666666667</v>
      </c>
      <c r="E3" t="str">
        <f t="shared" ref="E3:E4" si="0">IF(OR(D3&lt;15%, A3="February"), "Attention", "Low")</f>
        <v>Attention</v>
      </c>
    </row>
    <row r="4" spans="1:5">
      <c r="A4" t="s">
        <v>16</v>
      </c>
      <c r="B4">
        <v>110000</v>
      </c>
      <c r="C4">
        <v>33000</v>
      </c>
      <c r="D4" s="4">
        <f t="shared" ref="D3:D4" si="1">C4/B4</f>
        <v>0.3</v>
      </c>
      <c r="E4" t="str">
        <f t="shared" si="0"/>
        <v>Low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6586-E7DC-412D-9E67-E5CC20970977}">
  <dimension ref="A1:F5"/>
  <sheetViews>
    <sheetView tabSelected="1" workbookViewId="0">
      <selection activeCell="F3" sqref="F3"/>
    </sheetView>
  </sheetViews>
  <sheetFormatPr defaultRowHeight="15"/>
  <cols>
    <col min="2" max="2" width="19.28515625" customWidth="1"/>
    <col min="5" max="5" width="13" bestFit="1" customWidth="1"/>
  </cols>
  <sheetData>
    <row r="1" spans="1:6">
      <c r="A1" t="s">
        <v>17</v>
      </c>
      <c r="B1" t="s">
        <v>18</v>
      </c>
      <c r="D1" t="s">
        <v>17</v>
      </c>
      <c r="E1" t="s">
        <v>19</v>
      </c>
      <c r="F1" t="s">
        <v>20</v>
      </c>
    </row>
    <row r="2" spans="1:6">
      <c r="A2" t="s">
        <v>21</v>
      </c>
      <c r="B2" t="s">
        <v>22</v>
      </c>
      <c r="D2" t="s">
        <v>23</v>
      </c>
      <c r="E2" s="2">
        <v>450000</v>
      </c>
      <c r="F2">
        <f>_xlfn.XLOOKUP(D2, A$2:A$4, E$2:E$4, "UNKNOW_LOCATION")</f>
        <v>350000</v>
      </c>
    </row>
    <row r="3" spans="1:6">
      <c r="A3" t="s">
        <v>24</v>
      </c>
      <c r="B3" t="s">
        <v>25</v>
      </c>
      <c r="D3" t="s">
        <v>21</v>
      </c>
      <c r="E3" s="2">
        <v>600000</v>
      </c>
      <c r="F3">
        <f t="shared" ref="F3:F5" si="0">_xlfn.XLOOKUP(D3, A$2:A$4, E$2:E$4, "UNKNOW_LOCATION")</f>
        <v>450000</v>
      </c>
    </row>
    <row r="4" spans="1:6">
      <c r="A4" t="s">
        <v>23</v>
      </c>
      <c r="B4" t="s">
        <v>26</v>
      </c>
      <c r="D4" t="s">
        <v>24</v>
      </c>
      <c r="E4" s="2">
        <v>350000</v>
      </c>
      <c r="F4">
        <f t="shared" si="0"/>
        <v>600000</v>
      </c>
    </row>
    <row r="5" spans="1:6">
      <c r="D5" t="s">
        <v>27</v>
      </c>
      <c r="E5" s="2">
        <v>150000</v>
      </c>
      <c r="F5" t="str">
        <f t="shared" si="0"/>
        <v>UNKNOW_LOCATION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2026-06-17T15:26:17Z</dcterms:created>
  <dcterms:modified xsi:type="dcterms:W3CDTF">2026-06-23T17:12:19Z</dcterms:modified>
  <cp:category/>
  <cp:contentStatus/>
</cp:coreProperties>
</file>